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<sst xmlns="http://schemas.openxmlformats.org/spreadsheetml/2006/main" count="283" uniqueCount="223">
  <si>
    <t xml:space="preserve">PINNACLE LENDING SOLUTIONS</t>
  </si>
  <si>
    <t xml:space="preserve">Information Security Risk Register  |  Framework: NIST Cybersecurity Framework (CSF) 2.0  &amp;  ISO/IEC 27001:2022</t>
  </si>
  <si>
    <t xml:space="preserve">Prepared by: Marcus Albright, GRC Analyst  |  Review Date: June 2026  |  Classification: Internal</t>
  </si>
  <si>
    <t xml:space="preserve">Risk ID</t>
  </si>
  <si>
    <t xml:space="preserve">Risk Category</t>
  </si>
  <si>
    <t xml:space="preserve">Risk Description</t>
  </si>
  <si>
    <t xml:space="preserve">Threat Source</t>
  </si>
  <si>
    <t xml:space="preserve">Affected Asset / Process</t>
  </si>
  <si>
    <t xml:space="preserve">NIST CSF Function</t>
  </si>
  <si>
    <t xml:space="preserve">NIST CSF Category (ID)</t>
  </si>
  <si>
    <t xml:space="preserve">ISO 27001 Annex A Control</t>
  </si>
  <si>
    <t xml:space="preserve">Likelihood
(1–5)</t>
  </si>
  <si>
    <t xml:space="preserve">Impact
(1–5)</t>
  </si>
  <si>
    <t xml:space="preserve">Risk Score
(L×I)</t>
  </si>
  <si>
    <t xml:space="preserve">Risk Level</t>
  </si>
  <si>
    <t xml:space="preserve">Existing Controls</t>
  </si>
  <si>
    <t xml:space="preserve">Control Gap / Deficiency</t>
  </si>
  <si>
    <t xml:space="preserve">Recommended Remediation</t>
  </si>
  <si>
    <t xml:space="preserve">Risk Owner</t>
  </si>
  <si>
    <t xml:space="preserve">Target Date</t>
  </si>
  <si>
    <t xml:space="preserve">Status</t>
  </si>
  <si>
    <t xml:space="preserve">R-001</t>
  </si>
  <si>
    <t xml:space="preserve">Data Protection</t>
  </si>
  <si>
    <t xml:space="preserve">Unauthorized access to borrower PII stored in LOS/CRM</t>
  </si>
  <si>
    <t xml:space="preserve">Malicious insider / external attacker</t>
  </si>
  <si>
    <t xml:space="preserve">Loan Origination System (LOS), CRM</t>
  </si>
  <si>
    <t xml:space="preserve">Protect (PR)</t>
  </si>
  <si>
    <t xml:space="preserve">PR.AC-1 — Identity Mgmt &amp; Access Control</t>
  </si>
  <si>
    <t xml:space="preserve">A.9.2 — User Access Management</t>
  </si>
  <si>
    <t xml:space="preserve">Critical</t>
  </si>
  <si>
    <t xml:space="preserve">Role-based access control in LOS; basic password policy</t>
  </si>
  <si>
    <t xml:space="preserve">No MFA enforced; access reviews not documented quarterly</t>
  </si>
  <si>
    <t xml:space="preserve">Implement MFA for all LOS/CRM access; conduct quarterly access reviews; log all PII access events</t>
  </si>
  <si>
    <t xml:space="preserve">IT / Compliance Officer</t>
  </si>
  <si>
    <t xml:space="preserve">Sep 2026</t>
  </si>
  <si>
    <t xml:space="preserve">Open</t>
  </si>
  <si>
    <t xml:space="preserve">R-002</t>
  </si>
  <si>
    <t xml:space="preserve">Regulatory Compliance</t>
  </si>
  <si>
    <t xml:space="preserve">GLBA Safeguards Rule — incomplete written information security program</t>
  </si>
  <si>
    <t xml:space="preserve">Regulatory audit</t>
  </si>
  <si>
    <t xml:space="preserve">Compliance Program</t>
  </si>
  <si>
    <t xml:space="preserve">Govern (GV)</t>
  </si>
  <si>
    <t xml:space="preserve">GV.PO-1 — Organizational Policy</t>
  </si>
  <si>
    <t xml:space="preserve">A.18.1 — Compliance with Legal Requirements</t>
  </si>
  <si>
    <t xml:space="preserve">High</t>
  </si>
  <si>
    <t xml:space="preserve">Informal data handling procedures; annual compliance training</t>
  </si>
  <si>
    <t xml:space="preserve">No documented WISP; no annual risk assessment on file</t>
  </si>
  <si>
    <t xml:space="preserve">Draft and ratify a GLBA-compliant Written Information Security Program (WISP); schedule annual risk assessment</t>
  </si>
  <si>
    <t xml:space="preserve">Compliance Officer / Legal</t>
  </si>
  <si>
    <t xml:space="preserve">Aug 2026</t>
  </si>
  <si>
    <t xml:space="preserve">R-003</t>
  </si>
  <si>
    <t xml:space="preserve">Third-Party / Vendor Risk</t>
  </si>
  <si>
    <t xml:space="preserve">Mortgage broker or title company exposes NPI through insecure data transfer</t>
  </si>
  <si>
    <t xml:space="preserve">Third-party vendor</t>
  </si>
  <si>
    <t xml:space="preserve">Vendor data exchange, email/SFTP</t>
  </si>
  <si>
    <t xml:space="preserve">Identify (ID)</t>
  </si>
  <si>
    <t xml:space="preserve">ID.SC-2 — Supply Chain Risk Mgmt</t>
  </si>
  <si>
    <t xml:space="preserve">A.15.1 — Supplier Relationships</t>
  </si>
  <si>
    <t xml:space="preserve">Vendor contracts include data-handling clauses</t>
  </si>
  <si>
    <t xml:space="preserve">No formal vendor risk assessments; no security questionnaire process</t>
  </si>
  <si>
    <t xml:space="preserve">Implement annual vendor risk assessments and security questionnaires for all vendors handling NPI</t>
  </si>
  <si>
    <t xml:space="preserve">Operations / Compliance</t>
  </si>
  <si>
    <t xml:space="preserve">Oct 2026</t>
  </si>
  <si>
    <t xml:space="preserve">R-004</t>
  </si>
  <si>
    <t xml:space="preserve">Endpoint Security</t>
  </si>
  <si>
    <t xml:space="preserve">Loan officer laptop lost or stolen — unencrypted borrower data exposed</t>
  </si>
  <si>
    <t xml:space="preserve">Physical theft / loss</t>
  </si>
  <si>
    <t xml:space="preserve">Endpoint devices (laptops, mobile)</t>
  </si>
  <si>
    <t xml:space="preserve">PR.DS-1 — Data-at-Rest Protection</t>
  </si>
  <si>
    <t xml:space="preserve">A.8.3 — Media Handling</t>
  </si>
  <si>
    <t xml:space="preserve">Antivirus on company devices; remote wipe capability</t>
  </si>
  <si>
    <t xml:space="preserve">Full-disk encryption not verified on all endpoints; BYOD policy absent</t>
  </si>
  <si>
    <t xml:space="preserve">Enforce full-disk encryption (BitLocker/FileVault); establish BYOD policy; enable remote wipe on all devices</t>
  </si>
  <si>
    <t xml:space="preserve">IT Manager</t>
  </si>
  <si>
    <t xml:space="preserve">In Progress</t>
  </si>
  <si>
    <t xml:space="preserve">R-005</t>
  </si>
  <si>
    <t xml:space="preserve">Phishing / Social Engineering</t>
  </si>
  <si>
    <t xml:space="preserve">Loan officer or processor clicks phishing email — credential compromise</t>
  </si>
  <si>
    <t xml:space="preserve">External attacker (email-based)</t>
  </si>
  <si>
    <t xml:space="preserve">Email system, employee credentials</t>
  </si>
  <si>
    <t xml:space="preserve">PR.AT-1 — Awareness &amp; Training</t>
  </si>
  <si>
    <t xml:space="preserve">A.7.2 — Information Security Awareness</t>
  </si>
  <si>
    <t xml:space="preserve">Annual security awareness training</t>
  </si>
  <si>
    <t xml:space="preserve">No simulated phishing program; training not role-specific</t>
  </si>
  <si>
    <t xml:space="preserve">Launch quarterly phishing simulations; implement role-based security awareness training for mortgage staff</t>
  </si>
  <si>
    <t xml:space="preserve">HR / IT Security</t>
  </si>
  <si>
    <t xml:space="preserve">R-006</t>
  </si>
  <si>
    <t xml:space="preserve">Access Control</t>
  </si>
  <si>
    <t xml:space="preserve">Terminated employee retains system access after offboarding</t>
  </si>
  <si>
    <t xml:space="preserve">Insider threat (involuntary)</t>
  </si>
  <si>
    <t xml:space="preserve">LOS, CRM, email accounts</t>
  </si>
  <si>
    <t xml:space="preserve">PR.AC-4 — Access Permissions Mgmt</t>
  </si>
  <si>
    <t xml:space="preserve">A.9.2.6 — Removal of Access Rights</t>
  </si>
  <si>
    <t xml:space="preserve">HR triggers IT ticket on termination</t>
  </si>
  <si>
    <t xml:space="preserve">No SLA for access revocation; no automated deprovisioning; audit trail gaps</t>
  </si>
  <si>
    <t xml:space="preserve">Define 24-hour access revocation SLA; automate deprovisioning via HR/IT integration; log all offboarding actions</t>
  </si>
  <si>
    <t xml:space="preserve">HR / IT</t>
  </si>
  <si>
    <t xml:space="preserve">Jul 2026</t>
  </si>
  <si>
    <t xml:space="preserve">R-007</t>
  </si>
  <si>
    <t xml:space="preserve">Incident Response</t>
  </si>
  <si>
    <t xml:space="preserve">Security incident with no documented IR plan — extended exposure window</t>
  </si>
  <si>
    <t xml:space="preserve">Any threat actor</t>
  </si>
  <si>
    <t xml:space="preserve">All systems and customer data</t>
  </si>
  <si>
    <t xml:space="preserve">Respond (RS)</t>
  </si>
  <si>
    <t xml:space="preserve">RS.RP-1 — Response Planning</t>
  </si>
  <si>
    <t xml:space="preserve">A.16.1 — Mgmt of Info Security Incidents</t>
  </si>
  <si>
    <t xml:space="preserve">Informal escalation to IT manager</t>
  </si>
  <si>
    <t xml:space="preserve">No written Incident Response Plan; no tabletop exercises conducted</t>
  </si>
  <si>
    <t xml:space="preserve">Develop and ratify an Incident Response Plan; conduct annual tabletop exercise; define escalation roles</t>
  </si>
  <si>
    <t xml:space="preserve">CISO / Compliance Officer</t>
  </si>
  <si>
    <t xml:space="preserve">R-008</t>
  </si>
  <si>
    <t xml:space="preserve">Network Security</t>
  </si>
  <si>
    <t xml:space="preserve">Unsegmented network — compromise of one system enables lateral movement</t>
  </si>
  <si>
    <t xml:space="preserve">External attacker / malware</t>
  </si>
  <si>
    <t xml:space="preserve">Internal network, server infrastructure</t>
  </si>
  <si>
    <t xml:space="preserve">PR.AC-5 — Network Integrity Protection</t>
  </si>
  <si>
    <t xml:space="preserve">A.13.1 — Network Controls</t>
  </si>
  <si>
    <t xml:space="preserve">Medium</t>
  </si>
  <si>
    <t xml:space="preserve">Firewall at perimeter; basic network monitoring</t>
  </si>
  <si>
    <t xml:space="preserve">No network segmentation; no VLAN separation between LOS servers and general staff</t>
  </si>
  <si>
    <t xml:space="preserve">Implement network segmentation; deploy IDS/IPS; restrict LOS server access to authorized VLANs only</t>
  </si>
  <si>
    <t xml:space="preserve">Nov 2026</t>
  </si>
  <si>
    <t xml:space="preserve">R-009</t>
  </si>
  <si>
    <t xml:space="preserve">Cloud &amp; SaaS Security</t>
  </si>
  <si>
    <t xml:space="preserve">Misconfigured cloud storage exposes borrower documents</t>
  </si>
  <si>
    <t xml:space="preserve">Misconfiguration / external attacker</t>
  </si>
  <si>
    <t xml:space="preserve">Cloud storage (AWS S3 / SharePoint)</t>
  </si>
  <si>
    <t xml:space="preserve">PR.DS-5 — Protections Against Data Leaks</t>
  </si>
  <si>
    <t xml:space="preserve">A.13.2 — Information Transfer</t>
  </si>
  <si>
    <t xml:space="preserve">Cloud storage in use; basic access controls</t>
  </si>
  <si>
    <t xml:space="preserve">No cloud security posture review; bucket/container permissions not audited</t>
  </si>
  <si>
    <t xml:space="preserve">Conduct cloud configuration review; enable S3 bucket policies blocking public access; schedule quarterly posture audits</t>
  </si>
  <si>
    <t xml:space="preserve">IT / Compliance</t>
  </si>
  <si>
    <t xml:space="preserve">R-010</t>
  </si>
  <si>
    <t xml:space="preserve">Business Continuity</t>
  </si>
  <si>
    <t xml:space="preserve">Ransomware encrypts LOS — pipeline halted, closings delayed</t>
  </si>
  <si>
    <t xml:space="preserve">Ransomware group</t>
  </si>
  <si>
    <t xml:space="preserve">LOS, file servers, email</t>
  </si>
  <si>
    <t xml:space="preserve">Recover (RC)</t>
  </si>
  <si>
    <t xml:space="preserve">RC.RP-1 — Recovery Planning</t>
  </si>
  <si>
    <t xml:space="preserve">A.17.1 — IT Continuity</t>
  </si>
  <si>
    <t xml:space="preserve">Daily backups to local NAS</t>
  </si>
  <si>
    <t xml:space="preserve">Backups not tested; no offsite/cloud backup; no BCP documented</t>
  </si>
  <si>
    <t xml:space="preserve">Implement 3-2-1 backup strategy; test restoration quarterly; document Business Continuity Plan</t>
  </si>
  <si>
    <t xml:space="preserve">IT Manager / COO</t>
  </si>
  <si>
    <t xml:space="preserve">R-011</t>
  </si>
  <si>
    <t xml:space="preserve">Data Retention &amp; Disposal</t>
  </si>
  <si>
    <t xml:space="preserve">Improper disposal of physical loan files exposes borrower NPI</t>
  </si>
  <si>
    <t xml:space="preserve">Physical security failure</t>
  </si>
  <si>
    <t xml:space="preserve">Physical loan files, printed documents</t>
  </si>
  <si>
    <t xml:space="preserve">PR.DS-3 — Asset Management During Disposal</t>
  </si>
  <si>
    <t xml:space="preserve">A.8.3.2 — Disposal of Media</t>
  </si>
  <si>
    <t xml:space="preserve">Shredding bin in office</t>
  </si>
  <si>
    <t xml:space="preserve">No documented retention schedule; no certificate of destruction for sensitive files</t>
  </si>
  <si>
    <t xml:space="preserve">Implement documented data retention policy; require certificates of destruction; cross-cut shredder mandate</t>
  </si>
  <si>
    <t xml:space="preserve">Compliance Officer / Office Manager</t>
  </si>
  <si>
    <t xml:space="preserve">R-012</t>
  </si>
  <si>
    <t xml:space="preserve">Authentication</t>
  </si>
  <si>
    <t xml:space="preserve">Weak or reused passwords enable brute-force account takeover</t>
  </si>
  <si>
    <t xml:space="preserve">External attacker</t>
  </si>
  <si>
    <t xml:space="preserve">All authenticated systems</t>
  </si>
  <si>
    <t xml:space="preserve">PR.AC-7 — User Authentication Strength</t>
  </si>
  <si>
    <t xml:space="preserve">A.9.4 — System &amp; Application Access Control</t>
  </si>
  <si>
    <t xml:space="preserve">Password policy exists; minimum length enforced</t>
  </si>
  <si>
    <t xml:space="preserve">No password manager mandated; complexity rules inconsistent across systems; no MFA on email</t>
  </si>
  <si>
    <t xml:space="preserve">Enforce MFA on email and core systems; mandate password manager; standardize complexity policy</t>
  </si>
  <si>
    <t xml:space="preserve">R-013</t>
  </si>
  <si>
    <t xml:space="preserve">Audit Logging &amp; Monitoring</t>
  </si>
  <si>
    <t xml:space="preserve">No centralized log monitoring — security events go undetected</t>
  </si>
  <si>
    <t xml:space="preserve">LOS, CRM, network devices</t>
  </si>
  <si>
    <t xml:space="preserve">Detect (DE)</t>
  </si>
  <si>
    <t xml:space="preserve">DE.CM-1 — Network Monitoring</t>
  </si>
  <si>
    <t xml:space="preserve">A.12.4 — Logging &amp; Monitoring</t>
  </si>
  <si>
    <t xml:space="preserve">Individual system logs exist; ad hoc review</t>
  </si>
  <si>
    <t xml:space="preserve">No SIEM or centralized log aggregation; no alerting on anomalous events</t>
  </si>
  <si>
    <t xml:space="preserve">Deploy SIEM (Wazuh or Splunk); aggregate LOS, CRM, and network logs; configure alerting for critical events</t>
  </si>
  <si>
    <t xml:space="preserve">IT Security / Compliance</t>
  </si>
  <si>
    <t xml:space="preserve">Dec 2026</t>
  </si>
  <si>
    <t xml:space="preserve">R-014</t>
  </si>
  <si>
    <t xml:space="preserve">CFPB Regulatory Exposure</t>
  </si>
  <si>
    <t xml:space="preserve">CFPB data-handling violation due to inadequate controls on consumer data</t>
  </si>
  <si>
    <t xml:space="preserve">Regulatory enforcement</t>
  </si>
  <si>
    <t xml:space="preserve">Consumer financial data, loan files</t>
  </si>
  <si>
    <t xml:space="preserve">GV.PO-2 — Risk Strategy</t>
  </si>
  <si>
    <t xml:space="preserve">A.18.1.4 — Privacy of Personal Information</t>
  </si>
  <si>
    <t xml:space="preserve">CFPB training in onboarding; compliance officer oversight</t>
  </si>
  <si>
    <t xml:space="preserve">No formal data mapping of consumer data flows; no periodic CFPB controls review</t>
  </si>
  <si>
    <t xml:space="preserve">Map all consumer data flows; document CFPB control obligations; schedule annual compliance review</t>
  </si>
  <si>
    <t xml:space="preserve">R-015</t>
  </si>
  <si>
    <t xml:space="preserve">Privileged Access Management</t>
  </si>
  <si>
    <t xml:space="preserve">IT admin credentials compromised — full environment access granted to attacker</t>
  </si>
  <si>
    <t xml:space="preserve">External attacker / malicious insider</t>
  </si>
  <si>
    <t xml:space="preserve">Server infrastructure, all systems</t>
  </si>
  <si>
    <t xml:space="preserve">PR.AC-6 — Identities Proofed &amp; Bound</t>
  </si>
  <si>
    <t xml:space="preserve">A.9.2.3 — Mgmt of Privileged Access</t>
  </si>
  <si>
    <t xml:space="preserve">Admin accounts exist; passwords changed periodically</t>
  </si>
  <si>
    <t xml:space="preserve">No PAM solution; shared admin credentials in use; privileged activity not logged</t>
  </si>
  <si>
    <t xml:space="preserve">Eliminate shared admin credentials; implement PAM solution; log all privileged access and review monthly</t>
  </si>
  <si>
    <t xml:space="preserve">IT Manager / CISO</t>
  </si>
  <si>
    <t xml:space="preserve">RISK SCORING LEGEND</t>
  </si>
  <si>
    <t xml:space="preserve">≥ 16</t>
  </si>
  <si>
    <t xml:space="preserve">Risk Score = Likelihood × Impact</t>
  </si>
  <si>
    <t xml:space="preserve">10 – 15</t>
  </si>
  <si>
    <t xml:space="preserve">5 – 9</t>
  </si>
  <si>
    <t xml:space="preserve">Low</t>
  </si>
  <si>
    <t xml:space="preserve">1 – 4</t>
  </si>
  <si>
    <t xml:space="preserve">PINNACLE LENDING SOLUTIONS — Risk Register Summary</t>
  </si>
  <si>
    <t xml:space="preserve">Count</t>
  </si>
  <si>
    <t xml:space="preserve">% of Total</t>
  </si>
  <si>
    <t xml:space="preserve">Highest Risk ID(s)</t>
  </si>
  <si>
    <t xml:space="preserve">Priority Action</t>
  </si>
  <si>
    <t xml:space="preserve">7%</t>
  </si>
  <si>
    <t xml:space="preserve">Enforce MFA + quarterly PII access reviews</t>
  </si>
  <si>
    <t xml:space="preserve">40%</t>
  </si>
  <si>
    <t xml:space="preserve">R-002, R-006, R-007, R-009, R-010, R-014</t>
  </si>
  <si>
    <t xml:space="preserve">Document WISP; build IR Plan; enforce offboarding SLA</t>
  </si>
  <si>
    <t xml:space="preserve">53%</t>
  </si>
  <si>
    <t xml:space="preserve">Multiple — see register</t>
  </si>
  <si>
    <t xml:space="preserve">Phishing simulation; SIEM deployment; vendor risk program</t>
  </si>
  <si>
    <t xml:space="preserve">0%</t>
  </si>
  <si>
    <t xml:space="preserve">N/A</t>
  </si>
  <si>
    <t xml:space="preserve">TOTAL</t>
  </si>
  <si>
    <t xml:space="preserve">100%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</si>
</sst>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E06666"/>
        <bgColor rgb="FFE69138"/>
      </patternFill>
    </fill>
    <fill>
      <patternFill patternType="solid">
        <fgColor rgb="FFF4CCCC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E69138"/>
        <bgColor rgb="FFE06666"/>
      </patternFill>
    </fill>
    <fill>
      <patternFill patternType="solid">
        <fgColor rgb="FFFFF2CC"/>
        <bgColor rgb="FFF2F2F2"/>
      </patternFill>
    </fill>
    <fill>
      <patternFill patternType="solid">
        <fgColor rgb="FFFFD966"/>
        <bgColor rgb="FFFFCC00"/>
      </patternFill>
    </fill>
    <fill>
      <patternFill patternType="solid">
        <fgColor rgb="FF93C47D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E06666"/>
      <rgbColor rgb="FF2E5FA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E69138"/>
      <rgbColor rgb="FFFF6600"/>
      <rgbColor rgb="FF666699"/>
      <rgbColor rgb="FF93C47D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4" min="13" style="0" width="34"/>
    <col collapsed="false" customWidth="true" hidden="false" outlineLevel="0" max="15" min="15" style="0" width="38"/>
    <col collapsed="false" customWidth="true" hidden="false" outlineLevel="0" max="16" min="16" style="0" width="18"/>
    <col collapsed="false" customWidth="true" hidden="false" outlineLevel="0" max="18" min="17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51.75" hidden="false" customHeight="true" outlineLevel="0" collapsed="false">
      <c r="A5" s="5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7" t="n">
        <v>4</v>
      </c>
      <c r="J5" s="7" t="n">
        <v>5</v>
      </c>
      <c r="K5" s="8" t="n">
        <f aca="false">I5*J5</f>
        <v>20</v>
      </c>
      <c r="L5" s="9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10" t="s">
        <v>35</v>
      </c>
    </row>
    <row r="6" customFormat="false" ht="51.75" hidden="false" customHeight="true" outlineLevel="0" collapsed="false">
      <c r="A6" s="5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2" t="n">
        <v>3</v>
      </c>
      <c r="J6" s="12" t="n">
        <v>5</v>
      </c>
      <c r="K6" s="13" t="n">
        <f aca="false">I6*J6</f>
        <v>15</v>
      </c>
      <c r="L6" s="14" t="s">
        <v>44</v>
      </c>
      <c r="M6" s="11" t="s">
        <v>45</v>
      </c>
      <c r="N6" s="11" t="s">
        <v>46</v>
      </c>
      <c r="O6" s="11" t="s">
        <v>47</v>
      </c>
      <c r="P6" s="11" t="s">
        <v>48</v>
      </c>
      <c r="Q6" s="11" t="s">
        <v>49</v>
      </c>
      <c r="R6" s="10" t="s">
        <v>35</v>
      </c>
    </row>
    <row r="7" customFormat="false" ht="51.75" hidden="false" customHeight="true" outlineLevel="0" collapsed="false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7" t="n">
        <v>3</v>
      </c>
      <c r="J7" s="7" t="n">
        <v>4</v>
      </c>
      <c r="K7" s="13" t="n">
        <f aca="false">I7*J7</f>
        <v>12</v>
      </c>
      <c r="L7" s="14" t="s">
        <v>44</v>
      </c>
      <c r="M7" s="6" t="s">
        <v>58</v>
      </c>
      <c r="N7" s="6" t="s">
        <v>59</v>
      </c>
      <c r="O7" s="6" t="s">
        <v>60</v>
      </c>
      <c r="P7" s="6" t="s">
        <v>61</v>
      </c>
      <c r="Q7" s="6" t="s">
        <v>62</v>
      </c>
      <c r="R7" s="10" t="s">
        <v>35</v>
      </c>
    </row>
    <row r="8" customFormat="false" ht="51.75" hidden="false" customHeight="true" outlineLevel="0" collapsed="false">
      <c r="A8" s="5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26</v>
      </c>
      <c r="G8" s="11" t="s">
        <v>68</v>
      </c>
      <c r="H8" s="11" t="s">
        <v>69</v>
      </c>
      <c r="I8" s="12" t="n">
        <v>3</v>
      </c>
      <c r="J8" s="12" t="n">
        <v>4</v>
      </c>
      <c r="K8" s="13" t="n">
        <f aca="false">I8*J8</f>
        <v>12</v>
      </c>
      <c r="L8" s="14" t="s">
        <v>44</v>
      </c>
      <c r="M8" s="11" t="s">
        <v>70</v>
      </c>
      <c r="N8" s="11" t="s">
        <v>71</v>
      </c>
      <c r="O8" s="11" t="s">
        <v>72</v>
      </c>
      <c r="P8" s="11" t="s">
        <v>73</v>
      </c>
      <c r="Q8" s="11" t="s">
        <v>49</v>
      </c>
      <c r="R8" s="15" t="s">
        <v>74</v>
      </c>
    </row>
    <row r="9" customFormat="false" ht="51.75" hidden="false" customHeight="true" outlineLevel="0" collapsed="false">
      <c r="A9" s="5" t="s">
        <v>75</v>
      </c>
      <c r="B9" s="6" t="s">
        <v>76</v>
      </c>
      <c r="C9" s="6" t="s">
        <v>77</v>
      </c>
      <c r="D9" s="6" t="s">
        <v>78</v>
      </c>
      <c r="E9" s="6" t="s">
        <v>79</v>
      </c>
      <c r="F9" s="6" t="s">
        <v>26</v>
      </c>
      <c r="G9" s="6" t="s">
        <v>80</v>
      </c>
      <c r="H9" s="6" t="s">
        <v>81</v>
      </c>
      <c r="I9" s="7" t="n">
        <v>4</v>
      </c>
      <c r="J9" s="7" t="n">
        <v>4</v>
      </c>
      <c r="K9" s="8" t="n">
        <f aca="false">I9*J9</f>
        <v>16</v>
      </c>
      <c r="L9" s="9" t="s">
        <v>29</v>
      </c>
      <c r="M9" s="6" t="s">
        <v>82</v>
      </c>
      <c r="N9" s="6" t="s">
        <v>83</v>
      </c>
      <c r="O9" s="6" t="s">
        <v>84</v>
      </c>
      <c r="P9" s="6" t="s">
        <v>85</v>
      </c>
      <c r="Q9" s="6" t="s">
        <v>34</v>
      </c>
      <c r="R9" s="10" t="s">
        <v>35</v>
      </c>
    </row>
    <row r="10" customFormat="false" ht="51.75" hidden="false" customHeight="true" outlineLevel="0" collapsed="false">
      <c r="A10" s="5" t="s">
        <v>86</v>
      </c>
      <c r="B10" s="11" t="s">
        <v>87</v>
      </c>
      <c r="C10" s="11" t="s">
        <v>88</v>
      </c>
      <c r="D10" s="11" t="s">
        <v>89</v>
      </c>
      <c r="E10" s="11" t="s">
        <v>90</v>
      </c>
      <c r="F10" s="11" t="s">
        <v>26</v>
      </c>
      <c r="G10" s="11" t="s">
        <v>91</v>
      </c>
      <c r="H10" s="11" t="s">
        <v>92</v>
      </c>
      <c r="I10" s="12" t="n">
        <v>2</v>
      </c>
      <c r="J10" s="12" t="n">
        <v>5</v>
      </c>
      <c r="K10" s="13" t="n">
        <f aca="false">I10*J10</f>
        <v>10</v>
      </c>
      <c r="L10" s="14" t="s">
        <v>44</v>
      </c>
      <c r="M10" s="11" t="s">
        <v>93</v>
      </c>
      <c r="N10" s="11" t="s">
        <v>94</v>
      </c>
      <c r="O10" s="11" t="s">
        <v>95</v>
      </c>
      <c r="P10" s="11" t="s">
        <v>96</v>
      </c>
      <c r="Q10" s="11" t="s">
        <v>97</v>
      </c>
      <c r="R10" s="10" t="s">
        <v>35</v>
      </c>
    </row>
    <row r="11" customFormat="false" ht="51.75" hidden="false" customHeight="true" outlineLevel="0" collapsed="false">
      <c r="A11" s="5" t="s">
        <v>98</v>
      </c>
      <c r="B11" s="6" t="s">
        <v>99</v>
      </c>
      <c r="C11" s="6" t="s">
        <v>100</v>
      </c>
      <c r="D11" s="6" t="s">
        <v>101</v>
      </c>
      <c r="E11" s="6" t="s">
        <v>102</v>
      </c>
      <c r="F11" s="6" t="s">
        <v>103</v>
      </c>
      <c r="G11" s="6" t="s">
        <v>104</v>
      </c>
      <c r="H11" s="6" t="s">
        <v>105</v>
      </c>
      <c r="I11" s="7" t="n">
        <v>3</v>
      </c>
      <c r="J11" s="7" t="n">
        <v>5</v>
      </c>
      <c r="K11" s="13" t="n">
        <f aca="false">I11*J11</f>
        <v>15</v>
      </c>
      <c r="L11" s="14" t="s">
        <v>44</v>
      </c>
      <c r="M11" s="6" t="s">
        <v>106</v>
      </c>
      <c r="N11" s="6" t="s">
        <v>107</v>
      </c>
      <c r="O11" s="6" t="s">
        <v>108</v>
      </c>
      <c r="P11" s="6" t="s">
        <v>109</v>
      </c>
      <c r="Q11" s="6" t="s">
        <v>34</v>
      </c>
      <c r="R11" s="10" t="s">
        <v>35</v>
      </c>
    </row>
    <row r="12" customFormat="false" ht="51.75" hidden="false" customHeight="true" outlineLevel="0" collapsed="false">
      <c r="A12" s="5" t="s">
        <v>110</v>
      </c>
      <c r="B12" s="11" t="s">
        <v>111</v>
      </c>
      <c r="C12" s="11" t="s">
        <v>112</v>
      </c>
      <c r="D12" s="11" t="s">
        <v>113</v>
      </c>
      <c r="E12" s="11" t="s">
        <v>114</v>
      </c>
      <c r="F12" s="11" t="s">
        <v>26</v>
      </c>
      <c r="G12" s="11" t="s">
        <v>115</v>
      </c>
      <c r="H12" s="11" t="s">
        <v>116</v>
      </c>
      <c r="I12" s="12" t="n">
        <v>2</v>
      </c>
      <c r="J12" s="12" t="n">
        <v>4</v>
      </c>
      <c r="K12" s="16" t="n">
        <f aca="false">I12*J12</f>
        <v>8</v>
      </c>
      <c r="L12" s="17" t="s">
        <v>117</v>
      </c>
      <c r="M12" s="11" t="s">
        <v>118</v>
      </c>
      <c r="N12" s="11" t="s">
        <v>119</v>
      </c>
      <c r="O12" s="11" t="s">
        <v>120</v>
      </c>
      <c r="P12" s="11" t="s">
        <v>73</v>
      </c>
      <c r="Q12" s="11" t="s">
        <v>121</v>
      </c>
      <c r="R12" s="10" t="s">
        <v>35</v>
      </c>
    </row>
    <row r="13" customFormat="false" ht="51.75" hidden="false" customHeight="true" outlineLevel="0" collapsed="false">
      <c r="A13" s="5" t="s">
        <v>122</v>
      </c>
      <c r="B13" s="6" t="s">
        <v>123</v>
      </c>
      <c r="C13" s="6" t="s">
        <v>124</v>
      </c>
      <c r="D13" s="6" t="s">
        <v>125</v>
      </c>
      <c r="E13" s="6" t="s">
        <v>126</v>
      </c>
      <c r="F13" s="6" t="s">
        <v>26</v>
      </c>
      <c r="G13" s="6" t="s">
        <v>127</v>
      </c>
      <c r="H13" s="6" t="s">
        <v>128</v>
      </c>
      <c r="I13" s="7" t="n">
        <v>2</v>
      </c>
      <c r="J13" s="7" t="n">
        <v>5</v>
      </c>
      <c r="K13" s="13" t="n">
        <f aca="false">I13*J13</f>
        <v>10</v>
      </c>
      <c r="L13" s="14" t="s">
        <v>44</v>
      </c>
      <c r="M13" s="6" t="s">
        <v>129</v>
      </c>
      <c r="N13" s="6" t="s">
        <v>130</v>
      </c>
      <c r="O13" s="6" t="s">
        <v>131</v>
      </c>
      <c r="P13" s="6" t="s">
        <v>132</v>
      </c>
      <c r="Q13" s="6" t="s">
        <v>62</v>
      </c>
      <c r="R13" s="10" t="s">
        <v>35</v>
      </c>
    </row>
    <row r="14" customFormat="false" ht="51.75" hidden="false" customHeight="true" outlineLevel="0" collapsed="false">
      <c r="A14" s="5" t="s">
        <v>133</v>
      </c>
      <c r="B14" s="11" t="s">
        <v>134</v>
      </c>
      <c r="C14" s="11" t="s">
        <v>135</v>
      </c>
      <c r="D14" s="11" t="s">
        <v>136</v>
      </c>
      <c r="E14" s="11" t="s">
        <v>137</v>
      </c>
      <c r="F14" s="11" t="s">
        <v>138</v>
      </c>
      <c r="G14" s="11" t="s">
        <v>139</v>
      </c>
      <c r="H14" s="11" t="s">
        <v>140</v>
      </c>
      <c r="I14" s="12" t="n">
        <v>2</v>
      </c>
      <c r="J14" s="12" t="n">
        <v>5</v>
      </c>
      <c r="K14" s="13" t="n">
        <f aca="false">I14*J14</f>
        <v>10</v>
      </c>
      <c r="L14" s="14" t="s">
        <v>44</v>
      </c>
      <c r="M14" s="11" t="s">
        <v>141</v>
      </c>
      <c r="N14" s="11" t="s">
        <v>142</v>
      </c>
      <c r="O14" s="11" t="s">
        <v>143</v>
      </c>
      <c r="P14" s="11" t="s">
        <v>144</v>
      </c>
      <c r="Q14" s="11" t="s">
        <v>62</v>
      </c>
      <c r="R14" s="10" t="s">
        <v>35</v>
      </c>
    </row>
    <row r="15" customFormat="false" ht="51.75" hidden="false" customHeight="true" outlineLevel="0" collapsed="false">
      <c r="A15" s="5" t="s">
        <v>145</v>
      </c>
      <c r="B15" s="6" t="s">
        <v>146</v>
      </c>
      <c r="C15" s="6" t="s">
        <v>147</v>
      </c>
      <c r="D15" s="6" t="s">
        <v>148</v>
      </c>
      <c r="E15" s="6" t="s">
        <v>149</v>
      </c>
      <c r="F15" s="6" t="s">
        <v>26</v>
      </c>
      <c r="G15" s="6" t="s">
        <v>150</v>
      </c>
      <c r="H15" s="6" t="s">
        <v>151</v>
      </c>
      <c r="I15" s="7" t="n">
        <v>2</v>
      </c>
      <c r="J15" s="7" t="n">
        <v>3</v>
      </c>
      <c r="K15" s="16" t="n">
        <f aca="false">I15*J15</f>
        <v>6</v>
      </c>
      <c r="L15" s="17" t="s">
        <v>117</v>
      </c>
      <c r="M15" s="6" t="s">
        <v>152</v>
      </c>
      <c r="N15" s="6" t="s">
        <v>153</v>
      </c>
      <c r="O15" s="6" t="s">
        <v>154</v>
      </c>
      <c r="P15" s="6" t="s">
        <v>155</v>
      </c>
      <c r="Q15" s="6" t="s">
        <v>49</v>
      </c>
      <c r="R15" s="15" t="s">
        <v>74</v>
      </c>
    </row>
    <row r="16" customFormat="false" ht="51.75" hidden="false" customHeight="true" outlineLevel="0" collapsed="false">
      <c r="A16" s="5" t="s">
        <v>156</v>
      </c>
      <c r="B16" s="11" t="s">
        <v>157</v>
      </c>
      <c r="C16" s="11" t="s">
        <v>158</v>
      </c>
      <c r="D16" s="11" t="s">
        <v>159</v>
      </c>
      <c r="E16" s="11" t="s">
        <v>160</v>
      </c>
      <c r="F16" s="11" t="s">
        <v>26</v>
      </c>
      <c r="G16" s="11" t="s">
        <v>161</v>
      </c>
      <c r="H16" s="11" t="s">
        <v>162</v>
      </c>
      <c r="I16" s="12" t="n">
        <v>3</v>
      </c>
      <c r="J16" s="12" t="n">
        <v>4</v>
      </c>
      <c r="K16" s="13" t="n">
        <f aca="false">I16*J16</f>
        <v>12</v>
      </c>
      <c r="L16" s="14" t="s">
        <v>44</v>
      </c>
      <c r="M16" s="11" t="s">
        <v>163</v>
      </c>
      <c r="N16" s="11" t="s">
        <v>164</v>
      </c>
      <c r="O16" s="11" t="s">
        <v>165</v>
      </c>
      <c r="P16" s="11" t="s">
        <v>73</v>
      </c>
      <c r="Q16" s="11" t="s">
        <v>49</v>
      </c>
      <c r="R16" s="10" t="s">
        <v>35</v>
      </c>
    </row>
    <row r="17" customFormat="false" ht="51.75" hidden="false" customHeight="true" outlineLevel="0" collapsed="false">
      <c r="A17" s="5" t="s">
        <v>166</v>
      </c>
      <c r="B17" s="6" t="s">
        <v>167</v>
      </c>
      <c r="C17" s="6" t="s">
        <v>168</v>
      </c>
      <c r="D17" s="6" t="s">
        <v>101</v>
      </c>
      <c r="E17" s="6" t="s">
        <v>169</v>
      </c>
      <c r="F17" s="6" t="s">
        <v>170</v>
      </c>
      <c r="G17" s="6" t="s">
        <v>171</v>
      </c>
      <c r="H17" s="6" t="s">
        <v>172</v>
      </c>
      <c r="I17" s="7" t="n">
        <v>3</v>
      </c>
      <c r="J17" s="7" t="n">
        <v>4</v>
      </c>
      <c r="K17" s="13" t="n">
        <f aca="false">I17*J17</f>
        <v>12</v>
      </c>
      <c r="L17" s="14" t="s">
        <v>44</v>
      </c>
      <c r="M17" s="6" t="s">
        <v>173</v>
      </c>
      <c r="N17" s="6" t="s">
        <v>174</v>
      </c>
      <c r="O17" s="6" t="s">
        <v>175</v>
      </c>
      <c r="P17" s="6" t="s">
        <v>176</v>
      </c>
      <c r="Q17" s="6" t="s">
        <v>177</v>
      </c>
      <c r="R17" s="10" t="s">
        <v>35</v>
      </c>
    </row>
    <row r="18" customFormat="false" ht="51.75" hidden="false" customHeight="true" outlineLevel="0" collapsed="false">
      <c r="A18" s="5" t="s">
        <v>178</v>
      </c>
      <c r="B18" s="11" t="s">
        <v>179</v>
      </c>
      <c r="C18" s="11" t="s">
        <v>180</v>
      </c>
      <c r="D18" s="11" t="s">
        <v>181</v>
      </c>
      <c r="E18" s="11" t="s">
        <v>182</v>
      </c>
      <c r="F18" s="11" t="s">
        <v>41</v>
      </c>
      <c r="G18" s="11" t="s">
        <v>183</v>
      </c>
      <c r="H18" s="11" t="s">
        <v>184</v>
      </c>
      <c r="I18" s="12" t="n">
        <v>2</v>
      </c>
      <c r="J18" s="12" t="n">
        <v>5</v>
      </c>
      <c r="K18" s="13" t="n">
        <f aca="false">I18*J18</f>
        <v>10</v>
      </c>
      <c r="L18" s="14" t="s">
        <v>44</v>
      </c>
      <c r="M18" s="11" t="s">
        <v>185</v>
      </c>
      <c r="N18" s="11" t="s">
        <v>186</v>
      </c>
      <c r="O18" s="11" t="s">
        <v>187</v>
      </c>
      <c r="P18" s="11" t="s">
        <v>48</v>
      </c>
      <c r="Q18" s="11" t="s">
        <v>34</v>
      </c>
      <c r="R18" s="10" t="s">
        <v>35</v>
      </c>
    </row>
    <row r="19" customFormat="false" ht="51.75" hidden="false" customHeight="true" outlineLevel="0" collapsed="false">
      <c r="A19" s="5" t="s">
        <v>188</v>
      </c>
      <c r="B19" s="6" t="s">
        <v>189</v>
      </c>
      <c r="C19" s="6" t="s">
        <v>190</v>
      </c>
      <c r="D19" s="6" t="s">
        <v>191</v>
      </c>
      <c r="E19" s="6" t="s">
        <v>192</v>
      </c>
      <c r="F19" s="6" t="s">
        <v>26</v>
      </c>
      <c r="G19" s="6" t="s">
        <v>193</v>
      </c>
      <c r="H19" s="6" t="s">
        <v>194</v>
      </c>
      <c r="I19" s="7" t="n">
        <v>2</v>
      </c>
      <c r="J19" s="7" t="n">
        <v>5</v>
      </c>
      <c r="K19" s="13" t="n">
        <f aca="false">I19*J19</f>
        <v>10</v>
      </c>
      <c r="L19" s="14" t="s">
        <v>44</v>
      </c>
      <c r="M19" s="6" t="s">
        <v>195</v>
      </c>
      <c r="N19" s="6" t="s">
        <v>196</v>
      </c>
      <c r="O19" s="6" t="s">
        <v>197</v>
      </c>
      <c r="P19" s="6" t="s">
        <v>198</v>
      </c>
      <c r="Q19" s="6" t="s">
        <v>121</v>
      </c>
      <c r="R19" s="10" t="s">
        <v>35</v>
      </c>
    </row>
    <row r="21" customFormat="false" ht="15" hidden="false" customHeight="true" outlineLevel="0" collapsed="false">
      <c r="A21" s="18" t="s">
        <v>199</v>
      </c>
      <c r="B21" s="18"/>
      <c r="C21" s="18"/>
      <c r="D21" s="18"/>
    </row>
    <row r="22" customFormat="false" ht="22.35" hidden="false" customHeight="true" outlineLevel="0" collapsed="false">
      <c r="A22" s="19" t="s">
        <v>29</v>
      </c>
      <c r="B22" s="19"/>
      <c r="C22" s="20" t="s">
        <v>200</v>
      </c>
      <c r="D22" s="21" t="s">
        <v>201</v>
      </c>
    </row>
    <row r="23" customFormat="false" ht="22.35" hidden="false" customHeight="true" outlineLevel="0" collapsed="false">
      <c r="A23" s="22" t="s">
        <v>44</v>
      </c>
      <c r="B23" s="22"/>
      <c r="C23" s="20" t="s">
        <v>202</v>
      </c>
      <c r="D23" s="21" t="s">
        <v>201</v>
      </c>
    </row>
    <row r="24" customFormat="false" ht="22.35" hidden="false" customHeight="true" outlineLevel="0" collapsed="false">
      <c r="A24" s="23" t="s">
        <v>117</v>
      </c>
      <c r="B24" s="23"/>
      <c r="C24" s="20" t="s">
        <v>203</v>
      </c>
      <c r="D24" s="21" t="s">
        <v>201</v>
      </c>
    </row>
    <row r="25" customFormat="false" ht="22.35" hidden="false" customHeight="true" outlineLevel="0" collapsed="false">
      <c r="A25" s="24" t="s">
        <v>204</v>
      </c>
      <c r="B25" s="24"/>
      <c r="C25" s="20" t="s">
        <v>205</v>
      </c>
      <c r="D25" s="21" t="s">
        <v>201</v>
      </c>
    </row>
  </sheetData>
  <mergeCells count="8">
    <mergeCell ref="A1:R1"/>
    <mergeCell ref="A2:R2"/>
    <mergeCell ref="A3:R3"/>
    <mergeCell ref="A21:D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25" t="s">
        <v>206</v>
      </c>
      <c r="B1" s="25"/>
      <c r="C1" s="25"/>
      <c r="D1" s="25"/>
      <c r="E1" s="25"/>
    </row>
    <row r="2" customFormat="false" ht="21.75" hidden="false" customHeight="true" outlineLevel="0" collapsed="false">
      <c r="A2" s="4" t="s">
        <v>14</v>
      </c>
      <c r="B2" s="4" t="s">
        <v>207</v>
      </c>
      <c r="C2" s="4" t="s">
        <v>208</v>
      </c>
      <c r="D2" s="4" t="s">
        <v>209</v>
      </c>
      <c r="E2" s="4" t="s">
        <v>210</v>
      </c>
    </row>
    <row r="3" customFormat="false" ht="30" hidden="false" customHeight="true" outlineLevel="0" collapsed="false">
      <c r="A3" s="9" t="s">
        <v>29</v>
      </c>
      <c r="B3" s="12" t="n">
        <v>1</v>
      </c>
      <c r="C3" s="12" t="s">
        <v>211</v>
      </c>
      <c r="D3" s="12" t="s">
        <v>21</v>
      </c>
      <c r="E3" s="11" t="s">
        <v>212</v>
      </c>
    </row>
    <row r="4" customFormat="false" ht="30" hidden="false" customHeight="true" outlineLevel="0" collapsed="false">
      <c r="A4" s="14" t="s">
        <v>44</v>
      </c>
      <c r="B4" s="7" t="n">
        <v>6</v>
      </c>
      <c r="C4" s="7" t="s">
        <v>213</v>
      </c>
      <c r="D4" s="7" t="s">
        <v>214</v>
      </c>
      <c r="E4" s="6" t="s">
        <v>215</v>
      </c>
    </row>
    <row r="5" customFormat="false" ht="30" hidden="false" customHeight="true" outlineLevel="0" collapsed="false">
      <c r="A5" s="17" t="s">
        <v>117</v>
      </c>
      <c r="B5" s="12" t="n">
        <v>8</v>
      </c>
      <c r="C5" s="12" t="s">
        <v>216</v>
      </c>
      <c r="D5" s="12" t="s">
        <v>217</v>
      </c>
      <c r="E5" s="11" t="s">
        <v>218</v>
      </c>
    </row>
    <row r="6" customFormat="false" ht="30" hidden="false" customHeight="true" outlineLevel="0" collapsed="false">
      <c r="A6" s="26" t="s">
        <v>204</v>
      </c>
      <c r="B6" s="7" t="n">
        <v>0</v>
      </c>
      <c r="C6" s="7" t="s">
        <v>219</v>
      </c>
      <c r="D6" s="7" t="s">
        <v>220</v>
      </c>
      <c r="E6" s="6" t="s">
        <v>220</v>
      </c>
    </row>
    <row r="7" customFormat="false" ht="15" hidden="false" customHeight="false" outlineLevel="0" collapsed="false">
      <c r="A7" s="5" t="s">
        <v>221</v>
      </c>
      <c r="B7" s="5" t="n">
        <v>15</v>
      </c>
      <c r="C7" s="5" t="s">
        <v>222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2026-06-05T05:17:12Z</dcterms:created>
  <dc:creator>openpyxl</dc:creator>
  <dc:description/>
  <dc:language>en-US</dc:language>
  <cp:lastModifiedBy/>
  <dcterms:modified xsi:type="dcterms:W3CDTF">2026-06-05T05:17:12Z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